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dbe4daa010782/Documents/"/>
    </mc:Choice>
  </mc:AlternateContent>
  <xr:revisionPtr revIDLastSave="0" documentId="14_{64E842C8-1945-4287-A828-32041A6CA145}" xr6:coauthVersionLast="47" xr6:coauthVersionMax="47" xr10:uidLastSave="{00000000-0000-0000-0000-000000000000}"/>
  <bookViews>
    <workbookView xWindow="-108" yWindow="-108" windowWidth="23256" windowHeight="12456" activeTab="9" xr2:uid="{02F71A60-B378-42A0-A73D-31B4943C56B1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3" i="8"/>
  <c r="C4" i="8"/>
  <c r="C5" i="8"/>
  <c r="C2" i="8"/>
  <c r="D3" i="7"/>
  <c r="D4" i="7"/>
  <c r="D5" i="7"/>
  <c r="D2" i="7"/>
  <c r="D3" i="6"/>
  <c r="D4" i="6"/>
  <c r="D5" i="6"/>
  <c r="D2" i="6"/>
  <c r="D2" i="5"/>
  <c r="D3" i="5"/>
  <c r="D4" i="5"/>
  <c r="D5" i="5"/>
  <c r="D3" i="4"/>
  <c r="D4" i="4"/>
  <c r="D5" i="4"/>
  <c r="D2" i="4"/>
  <c r="C3" i="3"/>
  <c r="C4" i="3"/>
  <c r="C5" i="3"/>
  <c r="C6" i="3"/>
  <c r="C2" i="3"/>
  <c r="C3" i="2"/>
  <c r="C4" i="2"/>
  <c r="C5" i="2"/>
  <c r="C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<sst xmlns="http://schemas.openxmlformats.org/spreadsheetml/2006/main" count="111" uniqueCount="67">
  <si>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</si>
  <si>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</si>
  <si>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</si>
  <si>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</si>
  <si>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</si>
  <si>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</si>
  <si>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</si>
  <si>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</si>
  <si>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</si>
  <si>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</t>
  </si>
  <si>
    <t>If Marks ≥ 40 → Pass</t>
  </si>
  <si>
    <t>Else → Fail</t>
  </si>
  <si>
    <t>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</si>
  <si>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</si>
  <si>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</si>
  <si>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</si>
  <si>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</si>
  <si>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</si>
  <si>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</si>
  <si>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</si>
  <si>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</si>
  <si>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Grade</t>
  </si>
  <si>
    <t>≥ 75 → A</t>
  </si>
  <si>
    <t>≥ 60 → B</t>
  </si>
  <si>
    <t>≥ 40 → C</t>
  </si>
  <si>
    <t>&lt; 40 → Fail</t>
  </si>
  <si>
    <t>Name</t>
  </si>
  <si>
    <t>Age</t>
  </si>
  <si>
    <t>Experience (Years)</t>
  </si>
  <si>
    <t>Eligible</t>
  </si>
  <si>
    <t>Age ≥ 21 AND Experience ≥ 1 → Eligible</t>
  </si>
  <si>
    <t>TASK</t>
  </si>
  <si>
    <t>Attendance %</t>
  </si>
  <si>
    <t>Assignment Submitted</t>
  </si>
  <si>
    <t>Yes</t>
  </si>
  <si>
    <t>No</t>
  </si>
  <si>
    <t>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</si>
  <si>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</si>
  <si>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</si>
  <si>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</si>
  <si>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</si>
  <si>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</si>
  <si>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</si>
  <si>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</si>
  <si>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</si>
  <si>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Applicant</t>
  </si>
  <si>
    <t>CIBIL Score</t>
  </si>
  <si>
    <t>Loan Status</t>
  </si>
  <si>
    <t>Salary ≥ 40000 OR CIBIL ≥ 700</t>
  </si>
  <si>
    <t>Present</t>
  </si>
  <si>
    <t>Status</t>
  </si>
  <si>
    <t>If NOT Present → Absent</t>
  </si>
  <si>
    <t>Else → Present</t>
  </si>
  <si>
    <t>Number 1</t>
  </si>
  <si>
    <t>Number 2</t>
  </si>
  <si>
    <t>Divide Number 1 by Number 2</t>
  </si>
  <si>
    <t>If error → show "Invalid"</t>
  </si>
  <si>
    <t>Employee Name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</si>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</sst>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F0F6FC"/>
      <name val="Segoe UI"/>
      <family val="2"/>
    </font>
    <font>
      <sz val="10"/>
      <color rgb="FFF0F6FC"/>
      <name val="Segoe UI"/>
      <family val="2"/>
    </font>
    <font>
      <sz val="13.75"/>
      <color rgb="FFF0F6FC"/>
      <name val="Segoe UI"/>
      <family val="2"/>
    </font>
    <font>
      <sz val="13.75"/>
      <color theme="1"/>
      <name val="Segoe UI"/>
      <family val="2"/>
    </font>
    <font>
      <sz val="10"/>
      <color theme="0"/>
      <name val="Segoe UI"/>
      <family val="2"/>
    </font>
    <font>
      <sz val="10"/>
      <color theme="1"/>
      <name val="Segoe UI"/>
      <family val="2"/>
    </font>
    <font>
      <sz val="10"/>
      <color theme="2"/>
      <name val="Segoe UI"/>
      <family val="2"/>
    </font>
    <font>
      <sz val="10"/>
      <color theme="2"/>
      <name val="Segoe UI"/>
      <family val="2"/>
    </font>
    <font>
      <sz val="13.75"/>
      <color theme="2"/>
      <name val="Segoe UI"/>
      <family val="2"/>
    </font>
    <font>
      <sz val="11"/>
      <color theme="2"/>
      <name val="Calibri"/>
      <family val="2"/>
      <scheme val="minor"/>
    </font>
    <font>
      <sz val="13.75"/>
      <color theme="0"/>
      <name val="Segoe UI"/>
      <family val="2"/>
    </font>
    <font>
      <sz val="11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2AAF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DE4F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 indent="1"/>
    </xf>
    <xf numFmtId="0" fontId="5" fillId="8" borderId="0" xfId="0" applyFont="1" applyFill="1" applyAlignment="1">
      <alignment vertical="center" wrapText="1"/>
    </xf>
    <xf numFmtId="0" fontId="1" fillId="8" borderId="0" xfId="0" applyFont="1" applyFill="1" applyAlignment="1">
      <alignment horizontal="left" vertical="center" wrapText="1" indent="1"/>
    </xf>
    <xf numFmtId="0" fontId="7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 indent="1"/>
    </xf>
    <xf numFmtId="0" fontId="11" fillId="11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 indent="1"/>
    </xf>
    <xf numFmtId="0" fontId="1" fillId="13" borderId="0" xfId="0" applyFont="1" applyFill="1" applyAlignment="1">
      <alignment horizontal="left" vertical="center" wrapText="1" indent="1"/>
    </xf>
    <xf numFmtId="0" fontId="10" fillId="4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vertical="center" wrapText="1"/>
    </xf>
    <xf numFmtId="0" fontId="1" fillId="15" borderId="0" xfId="0" applyFont="1" applyFill="1" applyAlignment="1">
      <alignment horizontal="left" vertical="center" wrapText="1" indent="1"/>
    </xf>
    <xf numFmtId="0" fontId="13" fillId="1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 indent="1"/>
    </xf>
    <xf numFmtId="0" fontId="3" fillId="16" borderId="0" xfId="0" applyFont="1" applyFill="1" applyAlignment="1">
      <alignment horizontal="left" vertical="center" wrapText="1" indent="1"/>
    </xf>
    <xf numFmtId="0" fontId="4" fillId="17" borderId="0" xfId="0" applyFont="1" applyFill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 indent="1"/>
    </xf>
    <xf numFmtId="0" fontId="1" fillId="18" borderId="0" xfId="0" applyFont="1" applyFill="1" applyAlignment="1">
      <alignment horizontal="left" vertical="center" wrapText="1" indent="1"/>
    </xf>
    <xf numFmtId="0" fontId="2" fillId="5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vertical="center" wrapText="1"/>
    </xf>
    <xf numFmtId="0" fontId="6" fillId="14" borderId="2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 indent="1"/>
    </xf>
    <xf numFmtId="0" fontId="1" fillId="19" borderId="0" xfId="0" applyFont="1" applyFill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left" vertical="center" wrapText="1" indent="1"/>
    </xf>
    <xf numFmtId="0" fontId="5" fillId="5" borderId="0" xfId="0" applyFont="1" applyFill="1" applyAlignment="1">
      <alignment vertical="center" wrapText="1"/>
    </xf>
    <xf numFmtId="0" fontId="1" fillId="17" borderId="0" xfId="0" applyFont="1" applyFill="1" applyAlignment="1">
      <alignment horizontal="left" vertical="center" wrapText="1" indent="1"/>
    </xf>
    <xf numFmtId="0" fontId="1" fillId="22" borderId="1" xfId="0" applyFont="1" applyFill="1" applyBorder="1" applyAlignment="1">
      <alignment horizontal="left" vertical="center" wrapText="1" indent="1"/>
    </xf>
    <xf numFmtId="0" fontId="1" fillId="22" borderId="0" xfId="0" applyFont="1" applyFill="1" applyAlignment="1">
      <alignment horizontal="left" vertical="center" wrapText="1" indent="1"/>
    </xf>
    <xf numFmtId="0" fontId="12" fillId="23" borderId="0" xfId="0" applyFont="1" applyFill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left" vertical="center" wrapText="1" indent="1"/>
    </xf>
    <xf numFmtId="0" fontId="1" fillId="18" borderId="1" xfId="0" applyFont="1" applyFill="1" applyBorder="1" applyAlignment="1">
      <alignment horizontal="left" vertical="center" wrapText="1" indent="1"/>
    </xf>
    <xf numFmtId="0" fontId="1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E4F3"/>
      <color rgb="FF006600"/>
      <color rgb="FF00FF00"/>
      <color rgb="FFFF0000"/>
      <color rgb="FFFFFF00"/>
      <color rgb="FFFF7C80"/>
      <color rgb="FFC2A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DB1-D9FD-4BE5-BBF6-D96124D5A0C7}">
  <dimension ref="A1:K12"/>
  <sheetViews>
    <sheetView workbookViewId="0">
      <selection activeCell="D2" sqref="D2"/>
    </sheetView>
  </sheetViews>
  <sheetFormatPr defaultRowHeight="14.4" x14ac:dyDescent="0.3"/>
  <cols>
    <col min="1" max="4" width="20.77734375" customWidth="1"/>
    <col min="11" max="11" width="20.77734375" customWidth="1"/>
  </cols>
  <sheetData>
    <row r="1" spans="1:11" ht="15.6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11" ht="15.6" thickBot="1" x14ac:dyDescent="0.35">
      <c r="A2" s="5">
        <v>1</v>
      </c>
      <c r="B2" s="5" t="s">
        <v>4</v>
      </c>
      <c r="C2" s="5">
        <v>78</v>
      </c>
      <c r="D2" s="5" t="str">
        <f>IF(C2&gt;=40,"PASS","FAIL")</f>
        <v>PASS</v>
      </c>
    </row>
    <row r="3" spans="1:11" ht="15.6" thickBot="1" x14ac:dyDescent="0.35">
      <c r="A3" s="5">
        <v>2</v>
      </c>
      <c r="B3" s="5" t="s">
        <v>5</v>
      </c>
      <c r="C3" s="5">
        <v>35</v>
      </c>
      <c r="D3" s="5" t="str">
        <f t="shared" ref="D3:D6" si="0">IF(C3&gt;=40,"PASS","FAIL")</f>
        <v>FAIL</v>
      </c>
    </row>
    <row r="4" spans="1:11" ht="15.6" thickBot="1" x14ac:dyDescent="0.35">
      <c r="A4" s="5">
        <v>3</v>
      </c>
      <c r="B4" s="5" t="s">
        <v>6</v>
      </c>
      <c r="C4" s="5">
        <v>62</v>
      </c>
      <c r="D4" s="5" t="str">
        <f t="shared" si="0"/>
        <v>PASS</v>
      </c>
    </row>
    <row r="5" spans="1:11" ht="15.6" thickBot="1" x14ac:dyDescent="0.35">
      <c r="A5" s="5">
        <v>4</v>
      </c>
      <c r="B5" s="5" t="s">
        <v>7</v>
      </c>
      <c r="C5" s="5">
        <v>40</v>
      </c>
      <c r="D5" s="5" t="str">
        <f t="shared" si="0"/>
        <v>PASS</v>
      </c>
    </row>
    <row r="6" spans="1:11" ht="15.6" thickBot="1" x14ac:dyDescent="0.35">
      <c r="A6" s="5">
        <v>5</v>
      </c>
      <c r="B6" s="5" t="s">
        <v>8</v>
      </c>
      <c r="C6" s="5">
        <v>28</v>
      </c>
      <c r="D6" s="5" t="str">
        <f t="shared" si="0"/>
        <v>FAIL</v>
      </c>
    </row>
    <row r="10" spans="1:11" ht="20.399999999999999" x14ac:dyDescent="0.3">
      <c r="K10" s="1" t="s">
        <v>9</v>
      </c>
    </row>
    <row r="11" spans="1:11" ht="15" customHeight="1" x14ac:dyDescent="0.3">
      <c r="K11" s="2" t="s">
        <v>10</v>
      </c>
    </row>
    <row r="12" spans="1:11" ht="15" customHeight="1" x14ac:dyDescent="0.3">
      <c r="K12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ED38-8DF9-48E8-8D81-07AA0B37AA19}">
  <dimension ref="A1:K7"/>
  <sheetViews>
    <sheetView workbookViewId="0">
      <selection activeCell="E4" sqref="E4"/>
    </sheetView>
  </sheetViews>
  <sheetFormatPr defaultRowHeight="14.4" x14ac:dyDescent="0.3"/>
  <cols>
    <col min="1" max="3" width="20.77734375" customWidth="1"/>
    <col min="11" max="11" width="20.77734375" customWidth="1"/>
  </cols>
  <sheetData>
    <row r="1" spans="1:11" ht="19.95" customHeight="1" thickBot="1" x14ac:dyDescent="0.35">
      <c r="A1" s="8" t="s">
        <v>12</v>
      </c>
      <c r="B1" s="8" t="s">
        <v>13</v>
      </c>
      <c r="C1" s="8" t="s">
        <v>14</v>
      </c>
    </row>
    <row r="2" spans="1:11" ht="19.95" customHeight="1" thickBot="1" x14ac:dyDescent="0.35">
      <c r="A2" s="9" t="s">
        <v>15</v>
      </c>
      <c r="B2" s="9">
        <v>28000</v>
      </c>
      <c r="C2" s="9" t="str">
        <f>IF(B2&gt;=40000,"BONUS","NO BONUS")</f>
        <v>NO BONUS</v>
      </c>
    </row>
    <row r="3" spans="1:11" ht="19.95" customHeight="1" thickBot="1" x14ac:dyDescent="0.35">
      <c r="A3" s="9" t="s">
        <v>16</v>
      </c>
      <c r="B3" s="9">
        <v>45000</v>
      </c>
      <c r="C3" s="9" t="str">
        <f t="shared" ref="C3:C5" si="0">IF(B3&gt;=40000,"BONUS","NO BONUS")</f>
        <v>BONUS</v>
      </c>
    </row>
    <row r="4" spans="1:11" ht="19.95" customHeight="1" thickBot="1" x14ac:dyDescent="0.35">
      <c r="A4" s="9" t="s">
        <v>17</v>
      </c>
      <c r="B4" s="9">
        <v>52000</v>
      </c>
      <c r="C4" s="9" t="str">
        <f t="shared" si="0"/>
        <v>BONUS</v>
      </c>
    </row>
    <row r="5" spans="1:11" ht="19.95" customHeight="1" thickBot="1" x14ac:dyDescent="0.35">
      <c r="A5" s="9" t="s">
        <v>18</v>
      </c>
      <c r="B5" s="9">
        <v>30000</v>
      </c>
      <c r="C5" s="9" t="str">
        <f t="shared" si="0"/>
        <v>NO BONUS</v>
      </c>
      <c r="K5" s="6" t="s">
        <v>9</v>
      </c>
    </row>
    <row r="6" spans="1:11" ht="30" x14ac:dyDescent="0.3">
      <c r="K6" s="7" t="s">
        <v>19</v>
      </c>
    </row>
    <row r="7" spans="1:11" ht="15" x14ac:dyDescent="0.3">
      <c r="K7" s="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E55-0CBF-430E-ACBF-D6D5433EF6C1}">
  <dimension ref="A1:F6"/>
  <sheetViews>
    <sheetView workbookViewId="0">
      <selection activeCell="C2" sqref="C2"/>
    </sheetView>
  </sheetViews>
  <sheetFormatPr defaultRowHeight="14.4" x14ac:dyDescent="0.3"/>
  <cols>
    <col min="1" max="3" width="20.77734375" customWidth="1"/>
    <col min="6" max="6" width="20.77734375" customWidth="1"/>
  </cols>
  <sheetData>
    <row r="1" spans="1:6" ht="19.95" customHeight="1" thickBot="1" x14ac:dyDescent="0.35">
      <c r="A1" s="10" t="s">
        <v>1</v>
      </c>
      <c r="B1" s="10" t="s">
        <v>2</v>
      </c>
      <c r="C1" s="10" t="s">
        <v>21</v>
      </c>
      <c r="F1" s="13" t="s">
        <v>9</v>
      </c>
    </row>
    <row r="2" spans="1:6" ht="19.95" customHeight="1" thickBot="1" x14ac:dyDescent="0.35">
      <c r="A2" s="11" t="s">
        <v>4</v>
      </c>
      <c r="B2" s="11">
        <v>82</v>
      </c>
      <c r="C2" s="11" t="str">
        <f>IF(B2&gt;=75,"A",IF(B2&gt;=60,"B",IF(B2&gt;40,"C","FAIL")))</f>
        <v>A</v>
      </c>
      <c r="F2" s="12" t="s">
        <v>22</v>
      </c>
    </row>
    <row r="3" spans="1:6" ht="19.95" customHeight="1" thickBot="1" x14ac:dyDescent="0.35">
      <c r="A3" s="11" t="s">
        <v>5</v>
      </c>
      <c r="B3" s="11">
        <v>67</v>
      </c>
      <c r="C3" s="11" t="str">
        <f t="shared" ref="C3:C6" si="0">IF(B3&gt;=75,"A",IF(B3&gt;=60,"B",IF(B3&gt;40,"C","FAIL")))</f>
        <v>B</v>
      </c>
      <c r="F3" s="12" t="s">
        <v>23</v>
      </c>
    </row>
    <row r="4" spans="1:6" ht="19.95" customHeight="1" thickBot="1" x14ac:dyDescent="0.35">
      <c r="A4" s="11" t="s">
        <v>6</v>
      </c>
      <c r="B4" s="11">
        <v>45</v>
      </c>
      <c r="C4" s="11" t="str">
        <f t="shared" si="0"/>
        <v>C</v>
      </c>
      <c r="F4" s="12" t="s">
        <v>24</v>
      </c>
    </row>
    <row r="5" spans="1:6" ht="19.95" customHeight="1" thickBot="1" x14ac:dyDescent="0.35">
      <c r="A5" s="11" t="s">
        <v>7</v>
      </c>
      <c r="B5" s="11">
        <v>33</v>
      </c>
      <c r="C5" s="11" t="str">
        <f t="shared" si="0"/>
        <v>FAIL</v>
      </c>
      <c r="F5" s="12" t="s">
        <v>25</v>
      </c>
    </row>
    <row r="6" spans="1:6" ht="19.95" customHeight="1" thickBot="1" x14ac:dyDescent="0.35">
      <c r="A6" s="11" t="s">
        <v>8</v>
      </c>
      <c r="B6" s="11">
        <v>90</v>
      </c>
      <c r="C6" s="11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0C30-1931-45E5-BD34-631DAC7C96F4}">
  <dimension ref="A1:J6"/>
  <sheetViews>
    <sheetView workbookViewId="0">
      <selection activeCell="J6" sqref="J6"/>
    </sheetView>
  </sheetViews>
  <sheetFormatPr defaultRowHeight="14.4" x14ac:dyDescent="0.3"/>
  <cols>
    <col min="1" max="4" width="20.77734375" customWidth="1"/>
    <col min="10" max="10" width="20.77734375" customWidth="1"/>
  </cols>
  <sheetData>
    <row r="1" spans="1:10" ht="25.05" customHeight="1" thickBot="1" x14ac:dyDescent="0.35">
      <c r="A1" s="16" t="s">
        <v>26</v>
      </c>
      <c r="B1" s="16" t="s">
        <v>27</v>
      </c>
      <c r="C1" s="16" t="s">
        <v>28</v>
      </c>
      <c r="D1" s="16" t="s">
        <v>29</v>
      </c>
    </row>
    <row r="2" spans="1:10" ht="25.05" customHeight="1" thickBot="1" x14ac:dyDescent="0.35">
      <c r="A2" s="17" t="s">
        <v>15</v>
      </c>
      <c r="B2" s="17">
        <v>25</v>
      </c>
      <c r="C2" s="17">
        <v>2</v>
      </c>
      <c r="D2" s="17" t="str">
        <f>IF(AND(B2&gt;=21,C2&gt;=1),"ELIGIBLE","NOT ELIGIBLE")</f>
        <v>ELIGIBLE</v>
      </c>
    </row>
    <row r="3" spans="1:10" ht="25.05" customHeight="1" thickBot="1" x14ac:dyDescent="0.35">
      <c r="A3" s="17" t="s">
        <v>16</v>
      </c>
      <c r="B3" s="17">
        <v>20</v>
      </c>
      <c r="C3" s="17">
        <v>1</v>
      </c>
      <c r="D3" s="17" t="str">
        <f t="shared" ref="D3:D5" si="0">IF(AND(B3&gt;=21,C3&gt;=1),"ELIGIBLE","NOT ELIGIBLE")</f>
        <v>NOT ELIGIBLE</v>
      </c>
    </row>
    <row r="4" spans="1:10" ht="25.05" customHeight="1" thickBot="1" x14ac:dyDescent="0.35">
      <c r="A4" s="17" t="s">
        <v>17</v>
      </c>
      <c r="B4" s="17">
        <v>30</v>
      </c>
      <c r="C4" s="17">
        <v>5</v>
      </c>
      <c r="D4" s="17" t="str">
        <f t="shared" si="0"/>
        <v>ELIGIBLE</v>
      </c>
    </row>
    <row r="5" spans="1:10" ht="25.05" customHeight="1" thickBot="1" x14ac:dyDescent="0.35">
      <c r="A5" s="17" t="s">
        <v>18</v>
      </c>
      <c r="B5" s="17">
        <v>22</v>
      </c>
      <c r="C5" s="17">
        <v>0</v>
      </c>
      <c r="D5" s="17" t="str">
        <f t="shared" si="0"/>
        <v>NOT ELIGIBLE</v>
      </c>
      <c r="J5" s="14" t="s">
        <v>31</v>
      </c>
    </row>
    <row r="6" spans="1:10" ht="45" x14ac:dyDescent="0.3">
      <c r="J6" s="15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1649-8674-4634-A20B-496CA302452A}">
  <dimension ref="A1:I8"/>
  <sheetViews>
    <sheetView workbookViewId="0">
      <selection activeCell="C8" sqref="C8"/>
    </sheetView>
  </sheetViews>
  <sheetFormatPr defaultRowHeight="14.4" x14ac:dyDescent="0.3"/>
  <cols>
    <col min="1" max="4" width="20.77734375" customWidth="1"/>
    <col min="9" max="9" width="15.77734375" customWidth="1"/>
  </cols>
  <sheetData>
    <row r="1" spans="1:9" ht="60.6" thickBot="1" x14ac:dyDescent="0.35">
      <c r="A1" s="20" t="s">
        <v>1</v>
      </c>
      <c r="B1" s="20" t="s">
        <v>32</v>
      </c>
      <c r="C1" s="20" t="s">
        <v>33</v>
      </c>
      <c r="D1" s="20" t="s">
        <v>29</v>
      </c>
    </row>
    <row r="2" spans="1:9" ht="15.6" thickBot="1" x14ac:dyDescent="0.35">
      <c r="A2" s="21" t="s">
        <v>4</v>
      </c>
      <c r="B2" s="21">
        <v>85</v>
      </c>
      <c r="C2" s="21" t="s">
        <v>34</v>
      </c>
      <c r="D2" s="21" t="str">
        <f>IF(AND(B3&gt;=75,C2="YES"),"ELIGIBLE","NOT ELIGBLE")</f>
        <v>NOT ELIGBLE</v>
      </c>
    </row>
    <row r="3" spans="1:9" ht="15.6" thickBot="1" x14ac:dyDescent="0.35">
      <c r="A3" s="21" t="s">
        <v>5</v>
      </c>
      <c r="B3" s="21">
        <v>72</v>
      </c>
      <c r="C3" s="21" t="s">
        <v>34</v>
      </c>
      <c r="D3" s="21" t="str">
        <f t="shared" ref="D3:D5" si="0">IF(AND(B4&gt;=75,C3="YES"),"ELIGIBLE","NOT ELIGBLE")</f>
        <v>ELIGIBLE</v>
      </c>
    </row>
    <row r="4" spans="1:9" ht="15.6" thickBot="1" x14ac:dyDescent="0.35">
      <c r="A4" s="21" t="s">
        <v>6</v>
      </c>
      <c r="B4" s="21">
        <v>90</v>
      </c>
      <c r="C4" s="21" t="s">
        <v>35</v>
      </c>
      <c r="D4" s="21" t="str">
        <f t="shared" si="0"/>
        <v>NOT ELIGBLE</v>
      </c>
    </row>
    <row r="5" spans="1:9" ht="15.6" thickBot="1" x14ac:dyDescent="0.35">
      <c r="A5" s="21" t="s">
        <v>7</v>
      </c>
      <c r="B5" s="21">
        <v>80</v>
      </c>
      <c r="C5" s="21" t="s">
        <v>34</v>
      </c>
      <c r="D5" s="21" t="str">
        <f t="shared" si="0"/>
        <v>NOT ELIGBLE</v>
      </c>
    </row>
    <row r="7" spans="1:9" ht="20.399999999999999" x14ac:dyDescent="0.3">
      <c r="I7" s="19" t="s">
        <v>9</v>
      </c>
    </row>
    <row r="8" spans="1:9" ht="90" x14ac:dyDescent="0.3">
      <c r="I8" s="18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12B7-A3F3-41E4-9ADF-AA58C99F565F}">
  <dimension ref="A1:I9"/>
  <sheetViews>
    <sheetView workbookViewId="0">
      <selection activeCell="C20" sqref="C20"/>
    </sheetView>
  </sheetViews>
  <sheetFormatPr defaultRowHeight="14.4" x14ac:dyDescent="0.3"/>
  <cols>
    <col min="1" max="4" width="20.77734375" customWidth="1"/>
    <col min="9" max="9" width="15.77734375" customWidth="1"/>
  </cols>
  <sheetData>
    <row r="1" spans="1:9" ht="25.05" customHeight="1" x14ac:dyDescent="0.3">
      <c r="A1" s="23" t="s">
        <v>37</v>
      </c>
      <c r="B1" s="23" t="s">
        <v>38</v>
      </c>
      <c r="C1" s="23" t="s">
        <v>39</v>
      </c>
      <c r="D1" s="23" t="s">
        <v>40</v>
      </c>
    </row>
    <row r="2" spans="1:9" ht="25.05" customHeight="1" x14ac:dyDescent="0.3">
      <c r="A2" s="24" t="s">
        <v>41</v>
      </c>
      <c r="B2" s="24">
        <v>9000</v>
      </c>
      <c r="C2" s="24" t="s">
        <v>35</v>
      </c>
      <c r="D2" s="24" t="str">
        <f>IF(OR(B2&gt;=10000,C2="YES"),"DISCOUNT","NO DISCOUNT")</f>
        <v>NO DISCOUNT</v>
      </c>
    </row>
    <row r="3" spans="1:9" ht="25.05" customHeight="1" x14ac:dyDescent="0.3">
      <c r="A3" s="24" t="s">
        <v>42</v>
      </c>
      <c r="B3" s="24">
        <v>12000</v>
      </c>
      <c r="C3" s="24" t="s">
        <v>35</v>
      </c>
      <c r="D3" s="24" t="str">
        <f t="shared" ref="D3:D5" si="0">IF(OR(B3&gt;=10000,C3="YES"),"DISCOUNT","NO DISCOUNT")</f>
        <v>DISCOUNT</v>
      </c>
    </row>
    <row r="4" spans="1:9" ht="25.05" customHeight="1" x14ac:dyDescent="0.3">
      <c r="A4" s="24" t="s">
        <v>6</v>
      </c>
      <c r="B4" s="24">
        <v>4000</v>
      </c>
      <c r="C4" s="24" t="s">
        <v>34</v>
      </c>
      <c r="D4" s="24" t="str">
        <f t="shared" si="0"/>
        <v>DISCOUNT</v>
      </c>
    </row>
    <row r="5" spans="1:9" ht="25.05" customHeight="1" x14ac:dyDescent="0.3">
      <c r="A5" s="24" t="s">
        <v>43</v>
      </c>
      <c r="B5" s="24">
        <v>3000</v>
      </c>
      <c r="C5" s="24" t="s">
        <v>35</v>
      </c>
      <c r="D5" s="24" t="str">
        <f t="shared" si="0"/>
        <v>NO DISCOUNT</v>
      </c>
    </row>
    <row r="8" spans="1:9" ht="20.399999999999999" x14ac:dyDescent="0.3">
      <c r="I8" s="25" t="s">
        <v>9</v>
      </c>
    </row>
    <row r="9" spans="1:9" ht="60" x14ac:dyDescent="0.3">
      <c r="I9" s="26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554E-599B-4471-A755-8A56A6EA8E4F}">
  <dimension ref="A1:F9"/>
  <sheetViews>
    <sheetView workbookViewId="0">
      <selection activeCell="C5" sqref="C5"/>
    </sheetView>
  </sheetViews>
  <sheetFormatPr defaultRowHeight="14.4" x14ac:dyDescent="0.3"/>
  <cols>
    <col min="1" max="4" width="20.77734375" customWidth="1"/>
    <col min="6" max="6" width="20.77734375" customWidth="1"/>
  </cols>
  <sheetData>
    <row r="1" spans="1:6" ht="30.6" thickBot="1" x14ac:dyDescent="0.35">
      <c r="A1" s="27" t="s">
        <v>45</v>
      </c>
      <c r="B1" s="27" t="s">
        <v>13</v>
      </c>
      <c r="C1" s="27" t="s">
        <v>46</v>
      </c>
      <c r="D1" s="27" t="s">
        <v>47</v>
      </c>
    </row>
    <row r="2" spans="1:6" ht="15.6" thickBot="1" x14ac:dyDescent="0.35">
      <c r="A2" s="28" t="s">
        <v>15</v>
      </c>
      <c r="B2" s="28">
        <v>35000</v>
      </c>
      <c r="C2" s="28">
        <v>720</v>
      </c>
      <c r="D2" s="28" t="str">
        <f>IF(OR(B2&gt;=40000,C2&gt;=700),"LOAN","NO LOAN")</f>
        <v>LOAN</v>
      </c>
    </row>
    <row r="3" spans="1:6" ht="15.6" thickBot="1" x14ac:dyDescent="0.35">
      <c r="A3" s="28" t="s">
        <v>16</v>
      </c>
      <c r="B3" s="28">
        <v>25000</v>
      </c>
      <c r="C3" s="28">
        <v>680</v>
      </c>
      <c r="D3" s="28" t="str">
        <f t="shared" ref="D3:D5" si="0">IF(OR(B3&gt;=40000,C3&gt;=700),"LOAN","NO LOAN")</f>
        <v>NO LOAN</v>
      </c>
    </row>
    <row r="4" spans="1:6" ht="15.6" thickBot="1" x14ac:dyDescent="0.35">
      <c r="A4" s="28" t="s">
        <v>17</v>
      </c>
      <c r="B4" s="28">
        <v>50000</v>
      </c>
      <c r="C4" s="28">
        <v>650</v>
      </c>
      <c r="D4" s="28" t="str">
        <f t="shared" si="0"/>
        <v>LOAN</v>
      </c>
    </row>
    <row r="5" spans="1:6" ht="15.6" thickBot="1" x14ac:dyDescent="0.35">
      <c r="A5" s="28" t="s">
        <v>18</v>
      </c>
      <c r="B5" s="28">
        <v>20000</v>
      </c>
      <c r="C5" s="28">
        <v>600</v>
      </c>
      <c r="D5" s="28" t="str">
        <f t="shared" si="0"/>
        <v>NO LOAN</v>
      </c>
    </row>
    <row r="8" spans="1:6" ht="20.399999999999999" x14ac:dyDescent="0.3">
      <c r="F8" s="30" t="s">
        <v>9</v>
      </c>
    </row>
    <row r="9" spans="1:6" ht="90" x14ac:dyDescent="0.3">
      <c r="F9" s="29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A660-6CC5-4894-8C9F-993941957CFF}">
  <dimension ref="A1:E9"/>
  <sheetViews>
    <sheetView workbookViewId="0">
      <selection activeCell="C2" sqref="C2"/>
    </sheetView>
  </sheetViews>
  <sheetFormatPr defaultRowHeight="14.4" x14ac:dyDescent="0.3"/>
  <cols>
    <col min="1" max="3" width="20.77734375" customWidth="1"/>
    <col min="5" max="5" width="20.77734375" customWidth="1"/>
  </cols>
  <sheetData>
    <row r="1" spans="1:5" ht="19.95" customHeight="1" thickBot="1" x14ac:dyDescent="0.35">
      <c r="A1" s="31" t="s">
        <v>26</v>
      </c>
      <c r="B1" s="31" t="s">
        <v>49</v>
      </c>
      <c r="C1" s="31" t="s">
        <v>50</v>
      </c>
    </row>
    <row r="2" spans="1:5" ht="19.95" customHeight="1" thickBot="1" x14ac:dyDescent="0.35">
      <c r="A2" s="3" t="s">
        <v>4</v>
      </c>
      <c r="B2" s="3" t="b">
        <v>1</v>
      </c>
      <c r="C2" s="3" t="str">
        <f>IF(NOT(B2),"ABSENT","PRESENT")</f>
        <v>PRESENT</v>
      </c>
    </row>
    <row r="3" spans="1:5" ht="19.95" customHeight="1" thickBot="1" x14ac:dyDescent="0.35">
      <c r="A3" s="3" t="s">
        <v>5</v>
      </c>
      <c r="B3" s="3" t="b">
        <v>0</v>
      </c>
      <c r="C3" s="3" t="str">
        <f t="shared" ref="C3:C5" si="0">IF(NOT(B3),"ABSENT","PRESENT")</f>
        <v>ABSENT</v>
      </c>
    </row>
    <row r="4" spans="1:5" ht="19.95" customHeight="1" thickBot="1" x14ac:dyDescent="0.35">
      <c r="A4" s="3" t="s">
        <v>6</v>
      </c>
      <c r="B4" s="3" t="b">
        <v>1</v>
      </c>
      <c r="C4" s="3" t="str">
        <f t="shared" si="0"/>
        <v>PRESENT</v>
      </c>
    </row>
    <row r="5" spans="1:5" ht="19.95" customHeight="1" thickBot="1" x14ac:dyDescent="0.35">
      <c r="A5" s="3" t="s">
        <v>7</v>
      </c>
      <c r="B5" s="3" t="b">
        <v>0</v>
      </c>
      <c r="C5" s="3" t="str">
        <f t="shared" si="0"/>
        <v>ABSENT</v>
      </c>
    </row>
    <row r="7" spans="1:5" ht="20.399999999999999" x14ac:dyDescent="0.3">
      <c r="E7" s="33" t="s">
        <v>9</v>
      </c>
    </row>
    <row r="8" spans="1:5" ht="60" x14ac:dyDescent="0.3">
      <c r="E8" s="34" t="s">
        <v>51</v>
      </c>
    </row>
    <row r="9" spans="1:5" ht="30" x14ac:dyDescent="0.3">
      <c r="E9" s="32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C231-2D31-4045-8C87-CF3BAB0794AC}">
  <dimension ref="A1:E9"/>
  <sheetViews>
    <sheetView workbookViewId="0">
      <selection activeCell="H5" sqref="H5"/>
    </sheetView>
  </sheetViews>
  <sheetFormatPr defaultRowHeight="14.4" x14ac:dyDescent="0.3"/>
  <cols>
    <col min="1" max="3" width="20.77734375" customWidth="1"/>
    <col min="5" max="5" width="20.77734375" customWidth="1"/>
  </cols>
  <sheetData>
    <row r="1" spans="1:5" ht="25.05" customHeight="1" thickBot="1" x14ac:dyDescent="0.35">
      <c r="A1" s="38" t="s">
        <v>53</v>
      </c>
      <c r="B1" s="38" t="s">
        <v>54</v>
      </c>
      <c r="C1" s="38" t="s">
        <v>3</v>
      </c>
    </row>
    <row r="2" spans="1:5" ht="25.05" customHeight="1" thickBot="1" x14ac:dyDescent="0.35">
      <c r="A2" s="35">
        <v>10</v>
      </c>
      <c r="B2" s="35">
        <v>2</v>
      </c>
      <c r="C2" s="35">
        <f>IFERROR(A2/B2,"INVALID")</f>
        <v>5</v>
      </c>
    </row>
    <row r="3" spans="1:5" ht="25.05" customHeight="1" thickBot="1" x14ac:dyDescent="0.35">
      <c r="A3" s="35">
        <v>15</v>
      </c>
      <c r="B3" s="35">
        <v>0</v>
      </c>
      <c r="C3" s="35" t="str">
        <f t="shared" ref="C3:C5" si="0">IFERROR(A3/B3,"INVALID")</f>
        <v>INVALID</v>
      </c>
    </row>
    <row r="4" spans="1:5" ht="25.05" customHeight="1" thickBot="1" x14ac:dyDescent="0.35">
      <c r="A4" s="35">
        <v>20</v>
      </c>
      <c r="B4" s="35">
        <v>5</v>
      </c>
      <c r="C4" s="35">
        <f t="shared" si="0"/>
        <v>4</v>
      </c>
    </row>
    <row r="5" spans="1:5" ht="25.05" customHeight="1" thickBot="1" x14ac:dyDescent="0.35">
      <c r="A5" s="35">
        <v>8</v>
      </c>
      <c r="B5" s="35">
        <v>0</v>
      </c>
      <c r="C5" s="35" t="str">
        <f t="shared" si="0"/>
        <v>INVALID</v>
      </c>
    </row>
    <row r="7" spans="1:5" ht="20.399999999999999" x14ac:dyDescent="0.3">
      <c r="E7" s="37" t="s">
        <v>9</v>
      </c>
    </row>
    <row r="8" spans="1:5" ht="75" x14ac:dyDescent="0.3">
      <c r="E8" s="22" t="s">
        <v>55</v>
      </c>
    </row>
    <row r="9" spans="1:5" ht="60" x14ac:dyDescent="0.3">
      <c r="E9" s="36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1192-19EA-4366-8887-5BD876F22059}">
  <dimension ref="A1:H11"/>
  <sheetViews>
    <sheetView tabSelected="1" workbookViewId="0">
      <selection activeCell="B8" sqref="B8"/>
    </sheetView>
  </sheetViews>
  <sheetFormatPr defaultRowHeight="14.4" x14ac:dyDescent="0.3"/>
  <cols>
    <col min="1" max="4" width="20.77734375" customWidth="1"/>
    <col min="8" max="8" width="25.77734375" customWidth="1"/>
  </cols>
  <sheetData>
    <row r="1" spans="1:8" ht="19.95" customHeight="1" thickBot="1" x14ac:dyDescent="0.35">
      <c r="A1" s="27" t="s">
        <v>57</v>
      </c>
      <c r="B1" s="27" t="s">
        <v>58</v>
      </c>
      <c r="C1" s="27" t="s">
        <v>32</v>
      </c>
      <c r="D1" s="27" t="s">
        <v>59</v>
      </c>
    </row>
    <row r="2" spans="1:8" ht="19.95" customHeight="1" thickBot="1" x14ac:dyDescent="0.35">
      <c r="A2" s="40" t="s">
        <v>60</v>
      </c>
      <c r="B2" s="40">
        <v>45</v>
      </c>
      <c r="C2" s="40">
        <v>92</v>
      </c>
      <c r="D2" s="40" t="str">
        <f>IF(AND(C2&gt;=90,B1&gt;=40),"EXCELLENT",IF(C2&gt;=80,"GOOD","NEED IMPROVEMENT"))</f>
        <v>EXCELLENT</v>
      </c>
    </row>
    <row r="3" spans="1:8" ht="19.95" customHeight="1" thickBot="1" x14ac:dyDescent="0.35">
      <c r="A3" s="40" t="s">
        <v>61</v>
      </c>
      <c r="B3" s="40">
        <v>38</v>
      </c>
      <c r="C3" s="40">
        <v>85</v>
      </c>
      <c r="D3" s="40" t="str">
        <f t="shared" ref="D3:D5" si="0">IF(AND(C3&gt;=90,B2&gt;=40),"EXCELLENT",IF(C3&gt;=80,"GOOD","NEED IMPROVEMENT"))</f>
        <v>GOOD</v>
      </c>
    </row>
    <row r="4" spans="1:8" ht="19.95" customHeight="1" thickBot="1" x14ac:dyDescent="0.35">
      <c r="A4" s="40" t="s">
        <v>62</v>
      </c>
      <c r="B4" s="40">
        <v>50</v>
      </c>
      <c r="C4" s="40">
        <v>95</v>
      </c>
      <c r="D4" s="40" t="str">
        <f t="shared" si="0"/>
        <v>GOOD</v>
      </c>
    </row>
    <row r="5" spans="1:8" ht="19.95" customHeight="1" thickBot="1" x14ac:dyDescent="0.35">
      <c r="A5" s="40" t="s">
        <v>63</v>
      </c>
      <c r="B5" s="40">
        <v>30</v>
      </c>
      <c r="C5" s="40">
        <v>70</v>
      </c>
      <c r="D5" s="40" t="str">
        <f t="shared" si="0"/>
        <v>NEED IMPROVEMENT</v>
      </c>
    </row>
    <row r="8" spans="1:8" ht="20.399999999999999" x14ac:dyDescent="0.3">
      <c r="H8" s="41" t="s">
        <v>9</v>
      </c>
    </row>
    <row r="9" spans="1:8" ht="45" x14ac:dyDescent="0.3">
      <c r="H9" s="39" t="s">
        <v>64</v>
      </c>
    </row>
    <row r="10" spans="1:8" ht="30" x14ac:dyDescent="0.3">
      <c r="H10" s="39" t="s">
        <v>65</v>
      </c>
    </row>
    <row r="11" spans="1:8" ht="30" x14ac:dyDescent="0.3">
      <c r="H11" s="3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Bhadoriya</dc:creator>
  <cp:lastModifiedBy>Jay Bhadoriya</cp:lastModifiedBy>
  <dcterms:created xsi:type="dcterms:W3CDTF">2026-01-29T10:00:20Z</dcterms:created>
  <dcterms:modified xsi:type="dcterms:W3CDTF">2026-01-29T12:03:44Z</dcterms:modified>
</cp:coreProperties>
</file>